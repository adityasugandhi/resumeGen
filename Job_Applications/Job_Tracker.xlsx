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Application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C6EFCE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2" customWidth="1" min="3" max="3"/>
    <col width="14" customWidth="1" min="4" max="4"/>
    <col width="40" customWidth="1" min="5" max="5"/>
    <col width="15" customWidth="1" min="6" max="6"/>
    <col width="20" customWidth="1" min="7" max="7"/>
    <col width="28" customWidth="1" min="8" max="8"/>
    <col width="20" customWidth="1" min="9" max="9"/>
    <col width="12" customWidth="1" min="10" max="10"/>
    <col width="40" customWidth="1" min="11" max="11"/>
    <col width="25" customWidth="1" min="12" max="12"/>
    <col width="15" customWidth="1" min="13" max="13"/>
  </cols>
  <sheetData>
    <row r="1" ht="30" customHeight="1">
      <c r="A1" s="1" t="inlineStr">
        <is>
          <t>Company</t>
        </is>
      </c>
      <c r="B1" s="1" t="inlineStr">
        <is>
          <t>Role/Position</t>
        </is>
      </c>
      <c r="C1" s="1" t="inlineStr">
        <is>
          <t>Date Applied</t>
        </is>
      </c>
      <c r="D1" s="1" t="inlineStr">
        <is>
          <t>Status</t>
        </is>
      </c>
      <c r="E1" s="1" t="inlineStr">
        <is>
          <t>Job Posting URL</t>
        </is>
      </c>
      <c r="F1" s="1" t="inlineStr">
        <is>
          <t>Salary Range</t>
        </is>
      </c>
      <c r="G1" s="1" t="inlineStr">
        <is>
          <t>Contact Person</t>
        </is>
      </c>
      <c r="H1" s="1" t="inlineStr">
        <is>
          <t>Contact Email</t>
        </is>
      </c>
      <c r="I1" s="1" t="inlineStr">
        <is>
          <t>Interview Dates</t>
        </is>
      </c>
      <c r="J1" s="1" t="inlineStr">
        <is>
          <t>Follow-up Date</t>
        </is>
      </c>
      <c r="K1" s="1" t="inlineStr">
        <is>
          <t>Notes</t>
        </is>
      </c>
      <c r="L1" s="1" t="inlineStr">
        <is>
          <t>Resume Version</t>
        </is>
      </c>
      <c r="M1" s="1" t="inlineStr">
        <is>
          <t>Location</t>
        </is>
      </c>
    </row>
    <row r="2">
      <c r="A2" s="2" t="inlineStr">
        <is>
          <t>GE Vernova</t>
        </is>
      </c>
      <c r="B2" s="2" t="inlineStr">
        <is>
          <t>AI Agent Engineer</t>
        </is>
      </c>
      <c r="C2" s="2" t="inlineStr">
        <is>
          <t>Dec 10, 2025</t>
        </is>
      </c>
      <c r="D2" s="3" t="inlineStr">
        <is>
          <t>Applied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>
        <is>
          <t>GE_Vernova_AI_Agent_Engineer.pdf</t>
        </is>
      </c>
      <c r="M2" s="2" t="inlineStr"/>
    </row>
    <row r="3">
      <c r="A3" s="2" t="inlineStr">
        <is>
          <t>Intel</t>
        </is>
      </c>
      <c r="B3" s="2" t="inlineStr">
        <is>
          <t>GPU Software Engineer</t>
        </is>
      </c>
      <c r="C3" s="2" t="inlineStr">
        <is>
          <t>Jan 28, 2026</t>
        </is>
      </c>
      <c r="D3" s="3" t="inlineStr">
        <is>
          <t>Applied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>
        <is>
          <t>Intel_GPU_Software_Engineer.pdf</t>
        </is>
      </c>
      <c r="M3" s="2" t="inlineStr"/>
    </row>
    <row r="4">
      <c r="A4" s="2" t="inlineStr">
        <is>
          <t>Reddit</t>
        </is>
      </c>
      <c r="B4" s="2" t="inlineStr">
        <is>
          <t>Senior Software Engineer - Ads</t>
        </is>
      </c>
      <c r="C4" s="2" t="inlineStr">
        <is>
          <t>Feb 1, 2026</t>
        </is>
      </c>
      <c r="D4" s="3" t="inlineStr">
        <is>
          <t>Applied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>
        <is>
          <t>Reddit_Ads_Senior_Software_Engineer.pdf</t>
        </is>
      </c>
      <c r="M4" s="2" t="inlineStr"/>
    </row>
    <row r="5">
      <c r="A5" s="2" t="inlineStr">
        <is>
          <t>Delta</t>
        </is>
      </c>
      <c r="B5" s="2" t="inlineStr">
        <is>
          <t>AI Software Engineer</t>
        </is>
      </c>
      <c r="C5" s="2" t="inlineStr">
        <is>
          <t>Jan 22, 2026</t>
        </is>
      </c>
      <c r="D5" s="3" t="inlineStr">
        <is>
          <t>Applied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>
        <is>
          <t>Delta_AI_Software_Engineer.tex</t>
        </is>
      </c>
      <c r="M5" s="2" t="inlineStr"/>
    </row>
    <row r="6">
      <c r="A6" s="2" t="inlineStr">
        <is>
          <t>Sierra</t>
        </is>
      </c>
      <c r="B6" s="2" t="inlineStr">
        <is>
          <t>AI Agent Engineer</t>
        </is>
      </c>
      <c r="C6" s="2" t="inlineStr">
        <is>
          <t>Jan 17, 2026</t>
        </is>
      </c>
      <c r="D6" s="3" t="inlineStr">
        <is>
          <t>Applied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>
        <is>
          <t>Sierra_AI_Agent_Engineer.tex</t>
        </is>
      </c>
      <c r="M6" s="2" t="inlineStr"/>
    </row>
    <row r="7">
      <c r="A7" s="2" t="inlineStr">
        <is>
          <t>Insurance Startup</t>
        </is>
      </c>
      <c r="B7" s="2" t="inlineStr">
        <is>
          <t>Founding FullStack Engineer</t>
        </is>
      </c>
      <c r="C7" s="2" t="inlineStr">
        <is>
          <t>Jan 25, 2026</t>
        </is>
      </c>
      <c r="D7" s="3" t="inlineStr">
        <is>
          <t>Applied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>
        <is>
          <t>Founding_FullStack_Engineer_Insurance.pdf</t>
        </is>
      </c>
      <c r="M7" s="2" t="inlineStr"/>
    </row>
    <row r="8">
      <c r="A8" s="2" t="inlineStr">
        <is>
          <t>Reddit</t>
        </is>
      </c>
      <c r="B8" s="2" t="inlineStr">
        <is>
          <t>Senior Software Engineer, Ads (SMB Growth)</t>
        </is>
      </c>
      <c r="C8" s="2" t="inlineStr">
        <is>
          <t>Feb 1, 2026</t>
        </is>
      </c>
      <c r="D8" s="3" t="inlineStr">
        <is>
          <t>Applied</t>
        </is>
      </c>
      <c r="E8" s="2" t="inlineStr">
        <is>
          <t>https://job-boards.greenhouse.io/reddit/jobs/6909091</t>
        </is>
      </c>
      <c r="F8" s="2" t="inlineStr"/>
      <c r="G8" s="2" t="inlineStr"/>
      <c r="H8" s="2" t="inlineStr"/>
      <c r="I8" s="2" t="inlineStr"/>
      <c r="J8" s="2" t="inlineStr"/>
      <c r="K8" s="2" t="inlineStr">
        <is>
          <t>SMB Advertiser Growth team. Backend focus on microservices, APIs, distributed systems for ads.</t>
        </is>
      </c>
      <c r="L8" s="2" t="inlineStr">
        <is>
          <t>Reddit_Ads_Senior_Software_Engineer.pdf</t>
        </is>
      </c>
      <c r="M8" s="2" t="inlineStr">
        <is>
          <t>Remote - United States</t>
        </is>
      </c>
    </row>
    <row r="9">
      <c r="A9" s="2" t="inlineStr">
        <is>
          <t>Cox Automotive</t>
        </is>
      </c>
      <c r="B9" s="2" t="inlineStr">
        <is>
          <t>Senior Full Stack Software Engineer</t>
        </is>
      </c>
      <c r="C9" s="2" t="inlineStr">
        <is>
          <t>Feb 2, 2026</t>
        </is>
      </c>
      <c r="D9" s="3" t="inlineStr">
        <is>
          <t>Applied</t>
        </is>
      </c>
      <c r="E9" s="2" t="inlineStr"/>
      <c r="F9" s="2" t="inlineStr">
        <is>
          <t>$101,500 - $169,100</t>
        </is>
      </c>
      <c r="G9" s="2" t="inlineStr"/>
      <c r="H9" s="2" t="inlineStr"/>
      <c r="I9" s="2" t="inlineStr"/>
      <c r="J9" s="2" t="inlineStr"/>
      <c r="K9" s="2" t="inlineStr">
        <is>
          <t>Atlanta GA (Hybrid). Full Stack: Python, Java, React. AWS cloud-native. AI integration focus. Agile/Scrum.</t>
        </is>
      </c>
      <c r="L9" s="2" t="inlineStr">
        <is>
          <t>Cox_Automotive_Senior_FullStack_Engineer.pdf</t>
        </is>
      </c>
      <c r="M9" s="2" t="inlineStr">
        <is>
          <t>Atlanta, GA (Hybrid)</t>
        </is>
      </c>
    </row>
    <row r="10">
      <c r="A10" t="inlineStr">
        <is>
          <t>Google</t>
        </is>
      </c>
      <c r="B10" t="inlineStr">
        <is>
          <t>Software Engineer - Payments</t>
        </is>
      </c>
      <c r="C10" t="inlineStr">
        <is>
          <t>Feb 2, 2026</t>
        </is>
      </c>
      <c r="D10" t="inlineStr">
        <is>
          <t>Applied</t>
        </is>
      </c>
      <c r="F10" t="inlineStr">
        <is>
          <t>$141,000 - $202,000 + bonus + equity</t>
        </is>
      </c>
      <c r="K10" t="inlineStr">
        <is>
          <t>Payments team. Full-stack: Java, JavaScript/TypeScript. Large-scale distributed systems. Mountain View or Boulder.</t>
        </is>
      </c>
      <c r="L10" t="inlineStr">
        <is>
          <t>Google_Payments_Software_Engineer.pdf</t>
        </is>
      </c>
      <c r="M10" t="inlineStr">
        <is>
          <t>Mountain View, CA / Boulder, CO</t>
        </is>
      </c>
    </row>
    <row r="11">
      <c r="A11" t="inlineStr">
        <is>
          <t>Netflix</t>
        </is>
      </c>
      <c r="B11" t="inlineStr">
        <is>
          <t>Full-Stack Software Engineer 5 - Member Foundations Health</t>
        </is>
      </c>
      <c r="C11" t="inlineStr">
        <is>
          <t>Feb 2, 2026</t>
        </is>
      </c>
      <c r="D11" t="inlineStr">
        <is>
          <t>Applied</t>
        </is>
      </c>
      <c r="E11" t="inlineStr">
        <is>
          <t>https://explore.jobs.netflix.net/careers?pid=790313318856</t>
        </is>
      </c>
      <c r="F11" t="inlineStr">
        <is>
          <t>$388,000 - $558,000</t>
        </is>
      </c>
      <c r="K11" t="inlineStr">
        <is>
          <t>Member Foundations Health team. Developer productivity tools. React/TypeScript, Java/Spring, GenAI. Remote USA.</t>
        </is>
      </c>
      <c r="L11" t="inlineStr">
        <is>
          <t>Netflix_FullStack_Engineer_Member_Foundations.pdf</t>
        </is>
      </c>
      <c r="M11" t="inlineStr">
        <is>
          <t>USA - Remote</t>
        </is>
      </c>
    </row>
    <row r="12">
      <c r="A12" t="inlineStr">
        <is>
          <t>Hims &amp; Hers</t>
        </is>
      </c>
      <c r="B12" t="inlineStr">
        <is>
          <t>Sr. Full-Stack Engineer, Applied AI</t>
        </is>
      </c>
      <c r="C12" t="inlineStr">
        <is>
          <t>Feb 3, 2026</t>
        </is>
      </c>
      <c r="D12" t="inlineStr">
        <is>
          <t>Applied</t>
        </is>
      </c>
      <c r="K12" t="inlineStr">
        <is>
          <t>Applied AI team. LLM integration, RAG pipelines, TypeScript/Python SDK. Remote USA.</t>
        </is>
      </c>
      <c r="L12" t="inlineStr">
        <is>
          <t>Hims_Hers_Sr_FullStack_Engineer_Applied_AI.pdf</t>
        </is>
      </c>
      <c r="M12" t="inlineStr">
        <is>
          <t>USA - Remote</t>
        </is>
      </c>
    </row>
    <row r="13">
      <c r="A13" t="inlineStr">
        <is>
          <t>Oracle Health</t>
        </is>
      </c>
      <c r="B13" t="inlineStr">
        <is>
          <t>Senior Member of Technical Staff - Backend - Healthcare AI</t>
        </is>
      </c>
      <c r="C13" t="inlineStr">
        <is>
          <t>Feb 4, 2026</t>
        </is>
      </c>
      <c r="D13" t="inlineStr">
        <is>
          <t>Applied</t>
        </is>
      </c>
      <c r="K13" t="inlineStr">
        <is>
          <t>Clinical Digital Assistant (CDA) team. Data platform engineering with Kafka, Flink, Oracle DB. NLP/semantic search, GenAI. Cloud-native on OCI/AWS. Remote USA.</t>
        </is>
      </c>
      <c r="L13" t="inlineStr">
        <is>
          <t>Oracle_Health_Senior_MTS.pdf</t>
        </is>
      </c>
      <c r="M13" t="inlineStr">
        <is>
          <t>USA - Remote</t>
        </is>
      </c>
    </row>
    <row r="14">
      <c r="A14" t="inlineStr">
        <is>
          <t>Uber</t>
        </is>
      </c>
      <c r="B14" t="inlineStr">
        <is>
          <t>Software Engineer II, Data/Backend</t>
        </is>
      </c>
      <c r="C14" t="inlineStr">
        <is>
          <t>Feb 14, 2026</t>
        </is>
      </c>
      <c r="D14" t="inlineStr">
        <is>
          <t>Applied</t>
        </is>
      </c>
      <c r="E14" t="inlineStr">
        <is>
          <t>https://www.uber.com/global/en/careers/list/154901/</t>
        </is>
      </c>
      <c r="F14" t="inlineStr">
        <is>
          <t>$167,000 - $190,000 + bonus + equity</t>
        </is>
      </c>
      <c r="K14" t="inlineStr">
        <is>
          <t>Item &amp; Inventory / Batch Data Platform team. Java, Python, Go. Kafka, Spark, Hive, Cassandra. Distributed backend systems. Sunnyvale.</t>
        </is>
      </c>
      <c r="L14" t="inlineStr">
        <is>
          <t>Uber_SWE_II_Data_Backend.pdf</t>
        </is>
      </c>
      <c r="M14" t="inlineStr">
        <is>
          <t>Sunnyvale, CA</t>
        </is>
      </c>
    </row>
    <row r="15">
      <c r="A15" t="inlineStr">
        <is>
          <t>Pure Storage</t>
        </is>
      </c>
      <c r="B15" t="inlineStr">
        <is>
          <t>Software Engineer - Agentic AI &amp; Automation</t>
        </is>
      </c>
      <c r="C15" t="inlineStr">
        <is>
          <t>Feb 14, 2026</t>
        </is>
      </c>
      <c r="D15" t="inlineStr">
        <is>
          <t>Applied</t>
        </is>
      </c>
      <c r="K15" t="inlineStr">
        <is>
          <t>Digital Transformation / G&amp;A domain. Agentic AI, multi-agent systems, RAG pipelines, vector DBs. Enterprise platforms (ServiceNow, Snowflake, Boomi). Python + Java.</t>
        </is>
      </c>
      <c r="L15" t="inlineStr">
        <is>
          <t>PureStorage_SWE_Agentic_AI.pdf</t>
        </is>
      </c>
      <c r="M15" t="inlineStr">
        <is>
          <t>Santa Clara, CA (Onsite)</t>
        </is>
      </c>
    </row>
    <row r="16">
      <c r="A16" t="inlineStr">
        <is>
          <t>Northslope</t>
        </is>
      </c>
      <c r="B16" t="inlineStr">
        <is>
          <t>Forward Deployed Software Engineer</t>
        </is>
      </c>
      <c r="C16" t="inlineStr">
        <is>
          <t>Feb 14, 2026</t>
        </is>
      </c>
      <c r="D16" t="inlineStr">
        <is>
          <t>Applied</t>
        </is>
      </c>
      <c r="E16" t="inlineStr">
        <is>
          <t>https://www.linkedin.com/in/fazanhabib/</t>
        </is>
      </c>
      <c r="G16" t="inlineStr">
        <is>
          <t>Fazan Habib</t>
        </is>
      </c>
      <c r="K16" t="inlineStr">
        <is>
          <t>Palantir Foundry/AIP partner. Python/TypeScript, React, Spark, ML/LLM solutions. Customer-embedded, enterprise data integration. Hybrid: NYC/DC/Denver/London. Travel 10-33%. Recruiter: Fazan Habib (Ex-Palantir, FDE Recruiting). Series A ($22M). Christina Peden also recruiting FDEs.</t>
        </is>
      </c>
      <c r="L16" t="inlineStr">
        <is>
          <t>Northslope_FDSE.pdf</t>
        </is>
      </c>
      <c r="M16" t="inlineStr">
        <is>
          <t>NYC / DC / Denver / London (Hybrid)</t>
        </is>
      </c>
    </row>
  </sheetData>
  <dataValidations count="1">
    <dataValidation sqref="D2:D100" showDropDown="0" showInputMessage="0" showErrorMessage="0" allowBlank="1" errorTitle="Invalid Status" error="Please select a valid status" type="list">
      <formula1>"Applied,Interviewing,Offer,Rejected,Withdrawn,On Hold"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Job Application Summary</t>
        </is>
      </c>
    </row>
    <row r="3">
      <c r="A3" s="5" t="inlineStr">
        <is>
          <t>Status</t>
        </is>
      </c>
      <c r="B3" s="5" t="inlineStr">
        <is>
          <t>Count</t>
        </is>
      </c>
    </row>
    <row r="4">
      <c r="A4" t="inlineStr">
        <is>
          <t>Applied</t>
        </is>
      </c>
      <c r="B4">
        <f>COUNTIF('Job Applications'!D:D,"Applied")</f>
        <v/>
      </c>
    </row>
    <row r="5">
      <c r="A5" t="inlineStr">
        <is>
          <t>Interviewing</t>
        </is>
      </c>
      <c r="B5">
        <f>COUNTIF('Job Applications'!D:D,"Interviewing")</f>
        <v/>
      </c>
    </row>
    <row r="6">
      <c r="A6" t="inlineStr">
        <is>
          <t>Offer</t>
        </is>
      </c>
      <c r="B6">
        <f>COUNTIF('Job Applications'!D:D,"Offer")</f>
        <v/>
      </c>
    </row>
    <row r="7">
      <c r="A7" t="inlineStr">
        <is>
          <t>Rejected</t>
        </is>
      </c>
      <c r="B7">
        <f>COUNTIF('Job Applications'!D:D,"Rejected")</f>
        <v/>
      </c>
    </row>
    <row r="8">
      <c r="A8" t="inlineStr">
        <is>
          <t>Withdrawn</t>
        </is>
      </c>
      <c r="B8">
        <f>COUNTIF('Job Applications'!D:D,"Withdrawn")</f>
        <v/>
      </c>
    </row>
    <row r="9">
      <c r="A9" t="inlineStr">
        <is>
          <t>On Hold</t>
        </is>
      </c>
      <c r="B9">
        <f>COUNTIF('Job Applications'!D:D,"On Hold")</f>
        <v/>
      </c>
    </row>
    <row r="11">
      <c r="A11" s="6" t="inlineStr">
        <is>
          <t>Total Applications</t>
        </is>
      </c>
      <c r="B11">
        <f>SUM(B4:B9)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7" t="inlineStr">
        <is>
          <t>Status Color Legend</t>
        </is>
      </c>
    </row>
    <row r="3">
      <c r="A3" s="8" t="inlineStr">
        <is>
          <t>Applied</t>
        </is>
      </c>
      <c r="B3" t="inlineStr">
        <is>
          <t>Application submitted, waiting to hear back</t>
        </is>
      </c>
    </row>
    <row r="4">
      <c r="A4" s="9" t="inlineStr">
        <is>
          <t>Interviewing</t>
        </is>
      </c>
      <c r="B4" t="inlineStr">
        <is>
          <t>In active interview process</t>
        </is>
      </c>
    </row>
    <row r="5">
      <c r="A5" s="10" t="inlineStr">
        <is>
          <t>Offer</t>
        </is>
      </c>
      <c r="B5" t="inlineStr">
        <is>
          <t>Received job offer</t>
        </is>
      </c>
    </row>
    <row r="6">
      <c r="A6" s="11" t="inlineStr">
        <is>
          <t>Rejected</t>
        </is>
      </c>
      <c r="B6" t="inlineStr">
        <is>
          <t>Application rejected or no longer considered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2026-02-01T16:55:31Z</dcterms:created>
  <dcterms:modified xmlns:dcterms="http://purl.org/dc/terms/" xmlns:xsi="http://www.w3.org/2001/XMLSchema-instance" xsi:type="dcterms:W3CDTF">2026-02-14T20:26:07Z</dcterms:modified>
</cp:coreProperties>
</file>